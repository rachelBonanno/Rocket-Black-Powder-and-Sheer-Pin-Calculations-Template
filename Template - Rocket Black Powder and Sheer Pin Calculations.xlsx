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4FFA51A5-3426-4AE5-A3C3-4511B839BE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3" sheetId="2" r:id="rId1"/>
    <sheet name="Air Density Calculation Steps" sheetId="3" r:id="rId2"/>
  </sheets>
  <definedNames>
    <definedName name="apogee_ft">'Air Density Calculation Steps'!$B$4</definedName>
    <definedName name="area_for_chute_in2" localSheetId="0">'L3'!$C$5:$C$5</definedName>
    <definedName name="area_for_chute_in2">#REF!</definedName>
    <definedName name="av_high_temp_F">'Air Density Calculation Steps'!$C$10</definedName>
    <definedName name="av_humidity">'Air Density Calculation Steps'!$C$13</definedName>
    <definedName name="av_low_temp_F">'Air Density Calculation Steps'!$C$11</definedName>
    <definedName name="av_pressure_in">'Air Density Calculation Steps'!$C$14</definedName>
    <definedName name="av_temp_F">'Air Density Calculation Steps'!$C$12</definedName>
    <definedName name="axial_load_lbf" localSheetId="0">'L3'!$B$34:$B$34</definedName>
    <definedName name="axial_load_lbf">#REF!</definedName>
    <definedName name="body_tube_radius_in" localSheetId="0">'L3'!$C$4:$C$4</definedName>
    <definedName name="body_tube_radius_in">#REF!</definedName>
    <definedName name="bp_drouge_primary">'L3'!$B$67:$B$67</definedName>
    <definedName name="bp_gas_yield_factor_inlbf_lbm" localSheetId="0">'L3'!$B$31:$B$31</definedName>
    <definedName name="bp_gas_yield_factor_inlbf_lbm">#REF!</definedName>
    <definedName name="bp_main_primary">'L3'!$B$69:$B$69</definedName>
    <definedName name="bp_mass_predicted_drouge_g" localSheetId="0">'L3'!$B$41:$B$41</definedName>
    <definedName name="bp_mass_predicted_drouge_g">#REF!</definedName>
    <definedName name="bp_mass_predicted_main_g" localSheetId="0">'L3'!$B$50:$B$50</definedName>
    <definedName name="bp_mass_predicted_main_g">#REF!</definedName>
    <definedName name="calculated_air_density_kg_m3">'Air Density Calculation Steps'!$B$24</definedName>
    <definedName name="chute_diameter_drouge_m" localSheetId="0">'L3'!$B$36:$B$36</definedName>
    <definedName name="chute_diameter_drouge_m">#REF!</definedName>
    <definedName name="combustion_temp_of_bp_degreesR" localSheetId="0">'L3'!$B$30:$B$30</definedName>
    <definedName name="combustion_temp_of_bp_degreesR">#REF!</definedName>
    <definedName name="drogue_air_density_Kg_m3" localSheetId="0">'L3'!$C$18:$C$18</definedName>
    <definedName name="drogue_air_density_Kg_m3">#REF!</definedName>
    <definedName name="drogue_Cd" localSheetId="0">'L3'!$C$17:$C$17</definedName>
    <definedName name="drogue_Cd">#REF!</definedName>
    <definedName name="drogue_deploy_verlocity_m_s" localSheetId="0">'L3'!$C$19:$C$19</definedName>
    <definedName name="drogue_deploy_verlocity_m_s">#REF!</definedName>
    <definedName name="drogue_size_in" localSheetId="0">'L3'!$C$16:$C$16</definedName>
    <definedName name="drogue_size_in">#REF!</definedName>
    <definedName name="drouge_desired_pressure_psi" localSheetId="0">'L3'!$B$40:$B$40</definedName>
    <definedName name="drouge_desired_pressure_psi">#REF!</definedName>
    <definedName name="elevation">'Air Density Calculation Steps'!$C$7</definedName>
    <definedName name="gravity_m_s2" localSheetId="0">'L3'!$B$23:$B$23</definedName>
    <definedName name="gravity_m_s2">#REF!</definedName>
    <definedName name="lbf_to_N" localSheetId="0">'L3'!$B$28:$B$28</definedName>
    <definedName name="lbf_to_N">#REF!</definedName>
    <definedName name="lbm_to_g" localSheetId="0">'L3'!$B$29:$B$29</definedName>
    <definedName name="lbm_to_g">#REF!</definedName>
    <definedName name="length_aft_airframe_in" localSheetId="0">'L3'!$C$6:$C$6</definedName>
    <definedName name="length_aft_airframe_in">#REF!</definedName>
    <definedName name="length_avebay_in_aft_in" localSheetId="0">'L3'!$C$8</definedName>
    <definedName name="length_avebay_in_aft_in">#REF!</definedName>
    <definedName name="length_avebay_in_forward_in" localSheetId="0">'L3'!$C$10</definedName>
    <definedName name="length_avebay_in_forward_in">#REF!</definedName>
    <definedName name="length_fin_in_aft_in" localSheetId="0">'L3'!$C$7:$C$7</definedName>
    <definedName name="length_fin_in_aft_in">#REF!</definedName>
    <definedName name="length_forward_airframe_in" localSheetId="0">'L3'!$C$9</definedName>
    <definedName name="length_forward_airframe_in">#REF!</definedName>
    <definedName name="length_nosecone_in_forward_in" localSheetId="0">'L3'!$C$11:$C$11</definedName>
    <definedName name="length_nosecone_in_forward_in">#REF!</definedName>
    <definedName name="m_to_in" localSheetId="0">'L3'!$B$27:$B$27</definedName>
    <definedName name="m_to_in">#REF!</definedName>
    <definedName name="main_desired_pressure_psi" localSheetId="0">'L3'!$B$49:$B$49</definedName>
    <definedName name="main_desired_pressure_psi">#REF!</definedName>
    <definedName name="motor_mass_after_burnout_kg" localSheetId="0">'L3'!$C$13:$C$13</definedName>
    <definedName name="motor_mass_after_burnout_kg">#REF!</definedName>
    <definedName name="motor_thrust_N" localSheetId="0">'L3'!$C$14:$C$14</definedName>
    <definedName name="motor_thrust_N">#REF!</definedName>
    <definedName name="N_to_lbs" localSheetId="0">'L3'!$B$26:$B$26</definedName>
    <definedName name="N_to_lbs">#REF!</definedName>
    <definedName name="number_of" localSheetId="0">'L3'!$A$39:$A$39</definedName>
    <definedName name="number_of">#REF!</definedName>
    <definedName name="number_of_2_56_drouge" localSheetId="0">'L3'!$B$38:$B$38</definedName>
    <definedName name="number_of_2_56_drouge">#REF!</definedName>
    <definedName name="number_of_2_56_drouge_desired" localSheetId="0">'L3'!$B$56:$B$56</definedName>
    <definedName name="number_of_2_56_drouge_desired">#REF!</definedName>
    <definedName name="number_of_2_56_main" localSheetId="0">'L3'!$B$47:$B$47</definedName>
    <definedName name="number_of_2_56_main">#REF!</definedName>
    <definedName name="number_of_2_56_main_desired" localSheetId="0">'L3'!$B$58:$B$58</definedName>
    <definedName name="number_of_2_56_main_desired">#REF!</definedName>
    <definedName name="number_of_4_40_drouge" localSheetId="0">'L3'!$B$39</definedName>
    <definedName name="number_of_4_40_drouge">#REF!</definedName>
    <definedName name="number_of_4_40_drouge_desired" localSheetId="0">'L3'!$B$57:$B$57</definedName>
    <definedName name="number_of_4_40_drouge_desired">#REF!</definedName>
    <definedName name="number_of_4_40_main" localSheetId="0">'L3'!$B$48:$B$48</definedName>
    <definedName name="number_of_4_40_main">#REF!</definedName>
    <definedName name="number_of_4_40_main_desired" localSheetId="0">'L3'!$B$59:$B$59</definedName>
    <definedName name="number_of_4_40_main_desired">#REF!</definedName>
    <definedName name="opening_shock_load_cK_drouge" localSheetId="0">'L3'!$B$43:$B$43</definedName>
    <definedName name="opening_shock_load_cK_drouge">#REF!</definedName>
    <definedName name="opening_shock_load_mass_ratio_drouge_Rm" localSheetId="0">'L3'!$B$42:$B$42</definedName>
    <definedName name="opening_shock_load_mass_ratio_drouge_Rm">#REF!</definedName>
    <definedName name="rocket_length_m" localSheetId="0">'L3'!$C$2:$C$2</definedName>
    <definedName name="rocket_length_m">#REF!</definedName>
    <definedName name="rocket_mas_kg" localSheetId="0">'L3'!$C$3:$C$3</definedName>
    <definedName name="rocket_mas_kg">#REF!</definedName>
    <definedName name="shock_load_drouge_N" localSheetId="0">'L3'!$B$44:$B$44</definedName>
    <definedName name="shock_load_drouge_N">#REF!</definedName>
    <definedName name="stregth_4_40_lbs" localSheetId="0">'L3'!$B$24:$B$24</definedName>
    <definedName name="stregth_4_40_lbs">#REF!</definedName>
    <definedName name="strength_2_56_lbs" localSheetId="0">'L3'!$B$25:$B$25</definedName>
    <definedName name="strength_2_56_lbs">#REF!</definedName>
    <definedName name="strength_4_40_lbs" localSheetId="0">'L3'!$B$24:$B$24</definedName>
    <definedName name="strength_4_40_lbs">#REF!</definedName>
    <definedName name="total_rocket_mass_kg" localSheetId="0">'L3'!$B$33:$B$33</definedName>
    <definedName name="total_rocket_mass_kg">#REF!</definedName>
    <definedName name="volume_for_chute_drouge_in3" localSheetId="0">'L3'!$B$37:$B$37</definedName>
    <definedName name="volume_for_chute_drouge_in3">#REF!</definedName>
    <definedName name="volume_for_chute_main_in3" localSheetId="0">'L3'!$B$46:$B$46</definedName>
    <definedName name="volume_for_chute_main_in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2" l="1" a="1"/>
  <c r="B70" i="2"/>
  <c r="B68" i="2" a="1"/>
  <c r="B68" i="2"/>
  <c r="C18" i="2"/>
  <c r="B20" i="3"/>
  <c r="B21" i="3"/>
  <c r="B22" i="3"/>
  <c r="C12" i="3"/>
  <c r="B19" i="3" s="1"/>
  <c r="B36" i="2" a="1"/>
  <c r="B36" i="2" s="1"/>
  <c r="B44" i="2" s="1" a="1"/>
  <c r="B44" i="2" s="1"/>
  <c r="B33" i="2" a="1"/>
  <c r="B33" i="2" s="1"/>
  <c r="C5" i="2" a="1"/>
  <c r="C5" i="2" s="1"/>
  <c r="B46" i="2" l="1" a="1"/>
  <c r="B46" i="2" s="1"/>
  <c r="B37" i="2" a="1"/>
  <c r="B37" i="2" s="1"/>
  <c r="B42" i="2" a="1"/>
  <c r="B42" i="2" s="1"/>
  <c r="B34" i="2" a="1"/>
  <c r="B34" i="2" s="1"/>
  <c r="B40" i="2" s="1" a="1"/>
  <c r="B40" i="2" s="1"/>
  <c r="B49" i="2" a="1"/>
  <c r="B49" i="2" s="1"/>
  <c r="B48" i="2" a="1"/>
  <c r="B48" i="2" s="1"/>
  <c r="B47" i="2" a="1"/>
  <c r="B47" i="2" s="1"/>
  <c r="B41" i="2" l="1" a="1"/>
  <c r="B41" i="2" s="1"/>
  <c r="B39" i="2" a="1"/>
  <c r="B39" i="2" s="1"/>
  <c r="B38" i="2" a="1"/>
  <c r="B38" i="2" s="1"/>
  <c r="B50" i="2" a="1"/>
  <c r="B50" i="2" s="1"/>
  <c r="B64" i="2" l="1" a="1"/>
  <c r="B64" i="2" s="1"/>
  <c r="B63" i="2" a="1"/>
  <c r="B63" i="2" s="1"/>
  <c r="B62" i="2" a="1"/>
  <c r="B62" i="2" s="1"/>
  <c r="B61" i="2" a="1"/>
  <c r="B6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<sst xmlns="http://schemas.openxmlformats.org/spreadsheetml/2006/main" count="128" uniqueCount="91">
  <si>
    <t>Where to Find Stat</t>
  </si>
  <si>
    <t>Rocket Stats</t>
  </si>
  <si>
    <t>OpenRocket</t>
  </si>
  <si>
    <t>Rocket Length (m):</t>
  </si>
  <si>
    <t>replace</t>
  </si>
  <si>
    <t>Rocket Mass (kg):</t>
  </si>
  <si>
    <t>Radius of Body Tube (in):</t>
  </si>
  <si>
    <t>Area for Chute (in^2):</t>
  </si>
  <si>
    <t>Length of Aft-Airframe (in):</t>
  </si>
  <si>
    <t>Lenght of Aft-Airframe Occupied by the Fin Assembly (in):</t>
  </si>
  <si>
    <t>Length of Ave-Bay in the Aft-Airfrmae (in):</t>
  </si>
  <si>
    <t>Length of Forward Airframe (in):</t>
  </si>
  <si>
    <t>Length of Ave-Bay in the Forward-Airfrmae (in):</t>
  </si>
  <si>
    <t>(this is if the nosecone is solid - if the nosecone is open to the airframe find the volume, you will have to make changes to the main volume of chute equation)</t>
  </si>
  <si>
    <t>Length of NoseCone in Foward-Airframe (in):</t>
  </si>
  <si>
    <t>Motor</t>
  </si>
  <si>
    <t>Can be found on https://www.thrustcurve.org/motors/AeroTech/M1350W/</t>
  </si>
  <si>
    <t>Motor Mass After Burnout (kg):</t>
  </si>
  <si>
    <t>Found where you buy your motor</t>
  </si>
  <si>
    <t>Trust of Motor (N):</t>
  </si>
  <si>
    <t>Drogue</t>
  </si>
  <si>
    <t>Can be found on where drouge is purchesed</t>
  </si>
  <si>
    <t>Drogue Size (in):</t>
  </si>
  <si>
    <t>Should between 1.5 and 1.6</t>
  </si>
  <si>
    <t>Drogue Cd:</t>
  </si>
  <si>
    <t>Go to the Air Density Calculation Steps sheet to get this number</t>
  </si>
  <si>
    <t>Air Density Drogue (Kg/m^3):</t>
  </si>
  <si>
    <t>Drouge Deploy Velocity (m/s):</t>
  </si>
  <si>
    <t>Constants</t>
  </si>
  <si>
    <t>Acceleration Due to Gravity (m/s^2):</t>
  </si>
  <si>
    <t>Strength of 4-40 Shear Pins (lbs):</t>
  </si>
  <si>
    <t>Strength of 2-56 Shear Pins (lbs):</t>
  </si>
  <si>
    <t>Unit Conversion from Newtons to lbs:</t>
  </si>
  <si>
    <t>Unit Conversion from m to in:</t>
  </si>
  <si>
    <t>Unit Conversion from lbf to Newtons:</t>
  </si>
  <si>
    <t>Unit Conversion from lbm to g:</t>
  </si>
  <si>
    <t>Combustion Temerature of BP (degrees R):</t>
  </si>
  <si>
    <t>Estimate Empirical Gas Yield Factor for Black Powder ((in lbf)/ lbm):</t>
  </si>
  <si>
    <t>Calculated Values</t>
  </si>
  <si>
    <t>Total Rocket Mass (kg):</t>
  </si>
  <si>
    <t>Axial Load (lbf):</t>
  </si>
  <si>
    <t>Drouge</t>
  </si>
  <si>
    <t>Chute Diameter (m):</t>
  </si>
  <si>
    <t>Volume for Chute (in^3):</t>
  </si>
  <si>
    <t>Number of 2-56 Shear Pins For Drouge:</t>
  </si>
  <si>
    <t>Number of 4-40 Shear Pins For Drouge:</t>
  </si>
  <si>
    <t>Desired Pressure (psi = lbf/in^2):</t>
  </si>
  <si>
    <t>* the 15 a static number found empirically (on packaging perhaps) to eject the payload instead of letting in creep out</t>
  </si>
  <si>
    <t>BP Mass Predicted (grams):</t>
  </si>
  <si>
    <t>Opening Shock Load Mass Ratio (Rm):</t>
  </si>
  <si>
    <t>Opening Shock Load Ck (look at table):</t>
  </si>
  <si>
    <t>Shock Load (N):</t>
  </si>
  <si>
    <t>Main</t>
  </si>
  <si>
    <t>Number of 2-56 Shear Pins For Main:</t>
  </si>
  <si>
    <t>Number of 4-40 Shear Pins For Main:</t>
  </si>
  <si>
    <t>* x2 is for the factor of saftey of 2 and the 8 is the built in psi to ensure that the seperation doesn't creep apart</t>
  </si>
  <si>
    <t>Corrected Black Powder Mass</t>
  </si>
  <si>
    <t>Enter Desired Shear Pin Amounts</t>
  </si>
  <si>
    <t>Calculated BP Mass Correction</t>
  </si>
  <si>
    <t>With 2-56 Shear Pins For Drouge:</t>
  </si>
  <si>
    <t>With 4-40 Shear Pins For Drouge:</t>
  </si>
  <si>
    <t>With 2-56 Shear Pins For Main:</t>
  </si>
  <si>
    <t>With 4-40 Shear Pins For Main:</t>
  </si>
  <si>
    <t>Actual BP Mass</t>
  </si>
  <si>
    <t>Shear Pins:</t>
  </si>
  <si>
    <t>Drouge Primary Charge (grams):</t>
  </si>
  <si>
    <t>Drouge Backup Charge (40% Increase):</t>
  </si>
  <si>
    <t>Main Primary Charge (grams):</t>
  </si>
  <si>
    <t>Main Backup Charge  (40% Increase):</t>
  </si>
  <si>
    <t>Air Density Calculation Steps</t>
  </si>
  <si>
    <t>Location:</t>
  </si>
  <si>
    <t>Month:</t>
  </si>
  <si>
    <t>Apogee(ft):</t>
  </si>
  <si>
    <t>Look up your launch location on this site to figure out what your elevation is:</t>
  </si>
  <si>
    <t>https://whatismyelevation.com/location/42.70424,-77.20664/Potter--NY--United-States-</t>
  </si>
  <si>
    <t>Elevation at Location(ft):</t>
  </si>
  <si>
    <t xml:space="preserve"> Get the barometric pressure and temerature (month averages - if you look at real time data can only look up to 14 days):</t>
  </si>
  <si>
    <t>https://www.weatherworld.com/climate-averages/ny/potter.html</t>
  </si>
  <si>
    <t>Average High temp (*F):</t>
  </si>
  <si>
    <t>Average Low Temp(*F):</t>
  </si>
  <si>
    <t>Average Temp (*F):</t>
  </si>
  <si>
    <t>Average Humidity %:</t>
  </si>
  <si>
    <t>Average Pressure (in):</t>
  </si>
  <si>
    <t>Use the link and plug in your variables and take the D (air density) (kg/m^3) ad = result to get Air Density Drogue (Kg/m^3):</t>
  </si>
  <si>
    <t>https://www.engineersedge.com/calculators/air-density.htm</t>
  </si>
  <si>
    <t>Air Density Table and Specific Weight Calculator (Plug these numbers into the website)</t>
  </si>
  <si>
    <t>Temperature F = </t>
  </si>
  <si>
    <t>Relative Humidity % RH = </t>
  </si>
  <si>
    <t>Barometer B (in) =</t>
  </si>
  <si>
    <t>Altitude (ft Above Sea Level) A =</t>
  </si>
  <si>
    <r>
      <t>D (air density) (kg/m</t>
    </r>
    <r>
      <rPr>
        <b/>
        <i/>
        <sz val="7"/>
        <color theme="0"/>
        <rFont val="Calibri"/>
        <family val="2"/>
        <charset val="1"/>
      </rPr>
      <t>3</t>
    </r>
    <r>
      <rPr>
        <b/>
        <i/>
        <sz val="9"/>
        <color theme="0"/>
        <rFont val="Calibri"/>
        <family val="2"/>
        <charset val="1"/>
      </rPr>
      <t>) ad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</si>
</sst>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9"/>
      <name val="Calibri"/>
      <family val="2"/>
      <charset val="1"/>
    </font>
    <font>
      <b/>
      <sz val="9"/>
      <color rgb="FFFFFFFF"/>
      <name val="Calibri"/>
      <family val="2"/>
      <charset val="1"/>
    </font>
    <font>
      <i/>
      <sz val="9"/>
      <name val="Calibri"/>
      <family val="2"/>
      <charset val="1"/>
    </font>
    <font>
      <b/>
      <i/>
      <sz val="9"/>
      <color theme="0"/>
      <name val="Calibri"/>
      <family val="2"/>
      <charset val="1"/>
    </font>
    <font>
      <b/>
      <i/>
      <sz val="7"/>
      <color theme="0"/>
      <name val="Calibri"/>
      <family val="2"/>
      <charset val="1"/>
    </font>
    <font>
      <sz val="16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0" fontId="1" fillId="0" borderId="1" xfId="1" applyBorder="1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4" borderId="5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4" borderId="8" xfId="0" applyFill="1" applyBorder="1" applyAlignment="1">
      <alignment horizontal="left"/>
    </xf>
    <xf numFmtId="0" fontId="0" fillId="6" borderId="3" xfId="0" applyFill="1" applyBorder="1" applyAlignment="1">
      <alignment horizontal="left" vertical="top"/>
    </xf>
    <xf numFmtId="0" fontId="0" fillId="7" borderId="2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7" borderId="5" xfId="0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8" borderId="0" xfId="0" applyFill="1"/>
    <xf numFmtId="0" fontId="0" fillId="2" borderId="3" xfId="0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8" borderId="0" xfId="0" applyFont="1" applyFill="1"/>
    <xf numFmtId="0" fontId="2" fillId="6" borderId="1" xfId="1" applyFont="1" applyFill="1" applyBorder="1" applyAlignment="1">
      <alignment horizontal="left"/>
    </xf>
    <xf numFmtId="0" fontId="2" fillId="7" borderId="1" xfId="1" applyFont="1" applyFill="1" applyBorder="1" applyAlignment="1">
      <alignment horizontal="left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9" borderId="2" xfId="0" applyFill="1" applyBorder="1" applyAlignment="1">
      <alignment horizontal="left" vertical="top"/>
    </xf>
    <xf numFmtId="0" fontId="2" fillId="5" borderId="5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5" xfId="0" applyBorder="1"/>
    <xf numFmtId="0" fontId="0" fillId="5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4" fontId="0" fillId="7" borderId="1" xfId="0" applyNumberFormat="1" applyFill="1" applyBorder="1" applyAlignment="1">
      <alignment horizontal="left" vertical="top"/>
    </xf>
    <xf numFmtId="0" fontId="1" fillId="0" borderId="3" xfId="1" applyBorder="1" applyAlignment="1">
      <alignment wrapText="1"/>
    </xf>
    <xf numFmtId="0" fontId="4" fillId="11" borderId="0" xfId="0" applyFont="1" applyFill="1" applyAlignment="1">
      <alignment wrapText="1"/>
    </xf>
    <xf numFmtId="0" fontId="5" fillId="12" borderId="12" xfId="0" applyFont="1" applyFill="1" applyBorder="1" applyAlignment="1">
      <alignment wrapText="1"/>
    </xf>
    <xf numFmtId="0" fontId="0" fillId="11" borderId="0" xfId="0" applyFill="1"/>
    <xf numFmtId="15" fontId="1" fillId="0" borderId="0" xfId="1" applyNumberFormat="1"/>
    <xf numFmtId="0" fontId="0" fillId="0" borderId="0" xfId="0" applyAlignment="1">
      <alignment wrapText="1"/>
    </xf>
    <xf numFmtId="0" fontId="1" fillId="0" borderId="0" xfId="1"/>
    <xf numFmtId="0" fontId="6" fillId="11" borderId="0" xfId="0" applyFont="1" applyFill="1" applyAlignment="1">
      <alignment wrapText="1"/>
    </xf>
    <xf numFmtId="0" fontId="7" fillId="13" borderId="12" xfId="0" applyFont="1" applyFill="1" applyBorder="1" applyAlignment="1">
      <alignment wrapText="1"/>
    </xf>
    <xf numFmtId="0" fontId="4" fillId="4" borderId="13" xfId="0" applyFont="1" applyFill="1" applyBorder="1" applyAlignment="1">
      <alignment horizontal="left" wrapText="1"/>
    </xf>
    <xf numFmtId="0" fontId="4" fillId="9" borderId="13" xfId="0" applyFont="1" applyFill="1" applyBorder="1" applyAlignment="1">
      <alignment horizontal="left" wrapText="1"/>
    </xf>
    <xf numFmtId="0" fontId="0" fillId="14" borderId="1" xfId="0" applyFill="1" applyBorder="1"/>
    <xf numFmtId="0" fontId="0" fillId="15" borderId="1" xfId="0" applyFill="1" applyBorder="1"/>
    <xf numFmtId="0" fontId="0" fillId="14" borderId="1" xfId="0" applyFill="1" applyBorder="1" applyAlignment="1">
      <alignment horizontal="left"/>
    </xf>
    <xf numFmtId="0" fontId="0" fillId="15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17" fontId="0" fillId="15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10" borderId="10" xfId="0" applyFont="1" applyFill="1" applyBorder="1" applyAlignment="1">
      <alignment wrapText="1"/>
    </xf>
    <xf numFmtId="0" fontId="4" fillId="10" borderId="11" xfId="0" applyFont="1" applyFill="1" applyBorder="1" applyAlignment="1">
      <alignment wrapText="1"/>
    </xf>
    <xf numFmtId="0" fontId="9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rustcurve.org/motors/AeroTech/M1350W/" TargetMode="External"/><Relationship Id="rId1" Type="http://schemas.openxmlformats.org/officeDocument/2006/relationships/hyperlink" Target="https://tuftscloud-my.sharepoint.com/:x:/r/personal/rbonan02_tufts_edu/Documents/Rocket%20Black%20Powder%20and%20Sheer%20Pin%20Calculations.xlsx?d=w5c59e3f1f59e46a7998c84d8f12f2504&amp;csf=1&amp;web=1&amp;e=McbJlI&amp;nav=MTVfezhDRDYxMDQzLUVGOEMtNDJGRi1CNkRDLTRDMDk5MUE4RTA4Rn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gineersedge.com/calculators/air-density.htm" TargetMode="External"/><Relationship Id="rId2" Type="http://schemas.openxmlformats.org/officeDocument/2006/relationships/hyperlink" Target="https://whatismyelevation.com/location/42.70424,-77.20664/Potter--NY--United-States-" TargetMode="External"/><Relationship Id="rId1" Type="http://schemas.openxmlformats.org/officeDocument/2006/relationships/hyperlink" Target="https://www.weatherworld.com/climate-averages/ny/pott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B800-9B1D-4B4E-A8D7-279ECEF8864B}">
  <dimension ref="A1:E70"/>
  <sheetViews>
    <sheetView tabSelected="1" workbookViewId="0">
      <selection activeCell="B67" sqref="B67"/>
    </sheetView>
  </sheetViews>
  <sheetFormatPr defaultRowHeight="15"/>
  <cols>
    <col min="1" max="1" width="35.42578125" customWidth="1"/>
    <col min="2" max="2" width="27.42578125" style="1" customWidth="1"/>
    <col min="3" max="3" width="18" style="1" customWidth="1"/>
    <col min="4" max="4" width="0.5703125" customWidth="1"/>
  </cols>
  <sheetData>
    <row r="1" spans="1:4">
      <c r="A1" s="2" t="s">
        <v>0</v>
      </c>
      <c r="B1" s="71" t="s">
        <v>1</v>
      </c>
      <c r="C1" s="71"/>
      <c r="D1" s="29"/>
    </row>
    <row r="2" spans="1:4">
      <c r="A2" s="13" t="s">
        <v>2</v>
      </c>
      <c r="B2" s="22" t="s">
        <v>3</v>
      </c>
      <c r="C2" s="16" t="s">
        <v>4</v>
      </c>
      <c r="D2" s="29"/>
    </row>
    <row r="3" spans="1:4">
      <c r="A3" s="9" t="s">
        <v>2</v>
      </c>
      <c r="B3" s="23" t="s">
        <v>5</v>
      </c>
      <c r="C3" s="17" t="s">
        <v>4</v>
      </c>
      <c r="D3" s="29"/>
    </row>
    <row r="4" spans="1:4">
      <c r="A4" s="4"/>
      <c r="B4" s="24" t="s">
        <v>6</v>
      </c>
      <c r="C4" s="19" t="s">
        <v>4</v>
      </c>
      <c r="D4" s="29"/>
    </row>
    <row r="5" spans="1:4">
      <c r="A5" s="4"/>
      <c r="B5" s="24" t="s">
        <v>7</v>
      </c>
      <c r="C5" s="39" t="e" cm="1">
        <f t="array" ref="C5" xml:space="preserve"> PI() * body_tube_radius_in * body_tube_radius_in</f>
        <v>#VALUE!</v>
      </c>
      <c r="D5" s="29"/>
    </row>
    <row r="6" spans="1:4">
      <c r="A6" s="4"/>
      <c r="B6" s="35" t="s">
        <v>8</v>
      </c>
      <c r="C6" s="33" t="s">
        <v>4</v>
      </c>
      <c r="D6" s="32"/>
    </row>
    <row r="7" spans="1:4" ht="43.5">
      <c r="A7" s="4"/>
      <c r="B7" s="36" t="s">
        <v>9</v>
      </c>
      <c r="C7" s="34" t="s">
        <v>4</v>
      </c>
      <c r="D7" s="32"/>
    </row>
    <row r="8" spans="1:4" ht="29.25">
      <c r="A8" s="4"/>
      <c r="B8" s="36" t="s">
        <v>10</v>
      </c>
      <c r="C8" s="33" t="s">
        <v>4</v>
      </c>
      <c r="D8" s="32"/>
    </row>
    <row r="9" spans="1:4">
      <c r="A9" s="14"/>
      <c r="B9" s="37" t="s">
        <v>11</v>
      </c>
      <c r="C9" s="34" t="s">
        <v>4</v>
      </c>
      <c r="D9" s="32"/>
    </row>
    <row r="10" spans="1:4" ht="29.25">
      <c r="A10" s="14"/>
      <c r="B10" s="31" t="s">
        <v>12</v>
      </c>
      <c r="C10" s="33" t="s">
        <v>4</v>
      </c>
      <c r="D10" s="32"/>
    </row>
    <row r="11" spans="1:4" ht="57.75">
      <c r="A11" s="31" t="s">
        <v>13</v>
      </c>
      <c r="B11" s="38" t="s">
        <v>14</v>
      </c>
      <c r="C11" s="34" t="s">
        <v>4</v>
      </c>
      <c r="D11" s="32"/>
    </row>
    <row r="12" spans="1:4">
      <c r="A12" s="30"/>
      <c r="B12" s="72" t="s">
        <v>15</v>
      </c>
      <c r="C12" s="72"/>
      <c r="D12" s="29"/>
    </row>
    <row r="13" spans="1:4" ht="43.5">
      <c r="A13" s="53" t="s">
        <v>16</v>
      </c>
      <c r="B13" s="22" t="s">
        <v>17</v>
      </c>
      <c r="C13" s="16" t="s">
        <v>4</v>
      </c>
      <c r="D13" s="29"/>
    </row>
    <row r="14" spans="1:4">
      <c r="A14" s="4" t="s">
        <v>18</v>
      </c>
      <c r="B14" s="24" t="s">
        <v>19</v>
      </c>
      <c r="C14" s="52" t="s">
        <v>4</v>
      </c>
      <c r="D14" s="29"/>
    </row>
    <row r="15" spans="1:4">
      <c r="A15" s="5"/>
      <c r="B15" s="73" t="s">
        <v>20</v>
      </c>
      <c r="C15" s="73"/>
      <c r="D15" s="29"/>
    </row>
    <row r="16" spans="1:4" ht="29.25">
      <c r="A16" s="3" t="s">
        <v>21</v>
      </c>
      <c r="B16" s="24" t="s">
        <v>22</v>
      </c>
      <c r="C16" s="19" t="s">
        <v>4</v>
      </c>
      <c r="D16" s="29"/>
    </row>
    <row r="17" spans="1:4">
      <c r="A17" t="s">
        <v>23</v>
      </c>
      <c r="B17" s="24" t="s">
        <v>24</v>
      </c>
      <c r="C17" s="18" t="s">
        <v>4</v>
      </c>
      <c r="D17" s="29"/>
    </row>
    <row r="18" spans="1:4" ht="29.25">
      <c r="A18" s="6" t="s">
        <v>25</v>
      </c>
      <c r="B18" s="24" t="s">
        <v>26</v>
      </c>
      <c r="C18" s="68" t="str">
        <f xml:space="preserve"> calculated_air_density_kg_m3</f>
        <v>replace</v>
      </c>
      <c r="D18" s="29"/>
    </row>
    <row r="19" spans="1:4">
      <c r="A19" s="7"/>
      <c r="B19" s="23" t="s">
        <v>27</v>
      </c>
      <c r="C19" s="17" t="s">
        <v>4</v>
      </c>
      <c r="D19" s="29"/>
    </row>
    <row r="20" spans="1:4">
      <c r="A20" s="8"/>
      <c r="B20" s="20"/>
      <c r="C20" s="20"/>
      <c r="D20" s="29"/>
    </row>
    <row r="21" spans="1:4">
      <c r="D21" s="29"/>
    </row>
    <row r="22" spans="1:4">
      <c r="A22" s="74" t="s">
        <v>28</v>
      </c>
      <c r="B22" s="74"/>
      <c r="C22" s="74"/>
      <c r="D22" s="29"/>
    </row>
    <row r="23" spans="1:4">
      <c r="A23" s="14" t="s">
        <v>29</v>
      </c>
      <c r="B23" s="15">
        <v>9.81</v>
      </c>
      <c r="C23" s="21"/>
      <c r="D23" s="29"/>
    </row>
    <row r="24" spans="1:4">
      <c r="A24" s="4" t="s">
        <v>30</v>
      </c>
      <c r="B24" s="11">
        <v>53</v>
      </c>
      <c r="C24" s="21"/>
      <c r="D24" s="29"/>
    </row>
    <row r="25" spans="1:4">
      <c r="A25" s="4" t="s">
        <v>31</v>
      </c>
      <c r="B25" s="10">
        <v>35</v>
      </c>
      <c r="C25" s="21"/>
      <c r="D25" s="29"/>
    </row>
    <row r="26" spans="1:4">
      <c r="A26" s="7" t="s">
        <v>32</v>
      </c>
      <c r="B26" s="12">
        <v>0.22480900000000001</v>
      </c>
      <c r="C26" s="21"/>
      <c r="D26" s="29"/>
    </row>
    <row r="27" spans="1:4">
      <c r="A27" s="7" t="s">
        <v>33</v>
      </c>
      <c r="B27" s="46">
        <v>39.369999999999997</v>
      </c>
      <c r="D27" s="29"/>
    </row>
    <row r="28" spans="1:4">
      <c r="A28" s="4" t="s">
        <v>34</v>
      </c>
      <c r="B28" s="47">
        <v>4.4480000000000004</v>
      </c>
      <c r="D28" s="29"/>
    </row>
    <row r="29" spans="1:4">
      <c r="A29" s="14" t="s">
        <v>35</v>
      </c>
      <c r="B29" s="51">
        <v>453.59199999999998</v>
      </c>
      <c r="D29" s="29"/>
    </row>
    <row r="30" spans="1:4">
      <c r="A30" s="14" t="s">
        <v>36</v>
      </c>
      <c r="B30" s="50">
        <v>3307</v>
      </c>
      <c r="D30" s="29"/>
    </row>
    <row r="31" spans="1:4" ht="29.25">
      <c r="A31" s="13" t="s">
        <v>37</v>
      </c>
      <c r="B31" s="51">
        <v>266</v>
      </c>
      <c r="D31" s="29"/>
    </row>
    <row r="32" spans="1:4">
      <c r="A32" s="75" t="s">
        <v>38</v>
      </c>
      <c r="B32" s="75"/>
      <c r="C32" s="74"/>
      <c r="D32" s="29"/>
    </row>
    <row r="33" spans="1:5">
      <c r="A33" s="14" t="s">
        <v>39</v>
      </c>
      <c r="B33" s="15" t="e" cm="1">
        <f t="array" ref="B33" xml:space="preserve"> rocket_mas_kg + motor_mass_after_burnout_kg</f>
        <v>#VALUE!</v>
      </c>
      <c r="C33" s="21"/>
      <c r="D33" s="29"/>
    </row>
    <row r="34" spans="1:5">
      <c r="A34" s="7" t="s">
        <v>40</v>
      </c>
      <c r="B34" s="12" t="e" cm="1">
        <f t="array" ref="B34" xml:space="preserve"> ((motor_thrust_N - (total_rocket_mass_kg * gravity_m_s2)) / rocket_length_m) * N_to_lbs</f>
        <v>#VALUE!</v>
      </c>
      <c r="C34" s="21"/>
      <c r="D34" s="29"/>
    </row>
    <row r="35" spans="1:5">
      <c r="A35" s="71" t="s">
        <v>41</v>
      </c>
      <c r="B35" s="71"/>
      <c r="C35" s="71"/>
      <c r="D35" s="29"/>
    </row>
    <row r="36" spans="1:5">
      <c r="A36" s="44" t="s">
        <v>42</v>
      </c>
      <c r="B36" s="45" t="e" cm="1">
        <f t="array" ref="B36" xml:space="preserve"> (drogue_size_in / m_to_in)</f>
        <v>#VALUE!</v>
      </c>
      <c r="C36" s="41"/>
      <c r="D36" s="29"/>
    </row>
    <row r="37" spans="1:5">
      <c r="A37" s="4" t="s">
        <v>43</v>
      </c>
      <c r="B37" s="40" t="e" cm="1">
        <f t="array" ref="B37" xml:space="preserve"> (length_aft_airframe_in - length_fin_in_aft_in - length_avebay_in_aft_in) * area_for_chute_in2</f>
        <v>#VALUE!</v>
      </c>
      <c r="C37" s="21"/>
      <c r="D37" s="29"/>
    </row>
    <row r="38" spans="1:5">
      <c r="A38" s="14" t="s">
        <v>44</v>
      </c>
      <c r="B38" s="15" t="e" cm="1">
        <f t="array" ref="B38" xml:space="preserve"> axial_load_lbf / strength_2_56_lbs</f>
        <v>#VALUE!</v>
      </c>
      <c r="C38" s="21"/>
      <c r="D38" s="29"/>
    </row>
    <row r="39" spans="1:5">
      <c r="A39" s="4" t="s">
        <v>45</v>
      </c>
      <c r="B39" s="12" t="e" cm="1">
        <f t="array" ref="B39" xml:space="preserve"> axial_load_lbf / strength_4_40_lbs</f>
        <v>#VALUE!</v>
      </c>
      <c r="C39" s="21"/>
      <c r="D39" s="29"/>
    </row>
    <row r="40" spans="1:5">
      <c r="A40" s="49" t="s">
        <v>46</v>
      </c>
      <c r="B40" s="48" t="e" cm="1">
        <f t="array" ref="B40" xml:space="preserve"> (axial_load_lbf / area_for_chute_in2) + 15</f>
        <v>#VALUE!</v>
      </c>
      <c r="D40" s="29"/>
      <c r="E40" s="21" t="s">
        <v>47</v>
      </c>
    </row>
    <row r="41" spans="1:5">
      <c r="A41" s="4" t="s">
        <v>48</v>
      </c>
      <c r="B41" s="43" t="e" cm="1">
        <f t="array" ref="B41" xml:space="preserve"> (volume_for_chute_drouge_in3 * drouge_desired_pressure_psi * lbm_to_g) / (bp_gas_yield_factor_inlbf_lbm * combustion_temp_of_bp_degreesR)</f>
        <v>#VALUE!</v>
      </c>
      <c r="C41" s="21"/>
      <c r="D41" s="29"/>
    </row>
    <row r="42" spans="1:5">
      <c r="A42" s="4" t="s">
        <v>49</v>
      </c>
      <c r="B42" s="10" t="e" cm="1">
        <f t="array" ref="B42" xml:space="preserve"> (1 / total_rocket_mass_kg) * drogue_air_density_Kg_m3 * POWER(drogue_Cd * PI() * chute_diameter_drouge_m * chute_diameter_drouge_m * (1/4), (3/2))</f>
        <v>#VALUE!</v>
      </c>
      <c r="C42" s="21"/>
      <c r="D42" s="29"/>
    </row>
    <row r="43" spans="1:5">
      <c r="A43" s="4" t="s">
        <v>50</v>
      </c>
      <c r="B43" s="25">
        <v>1.5</v>
      </c>
      <c r="C43" s="21"/>
      <c r="D43" s="29"/>
    </row>
    <row r="44" spans="1:5">
      <c r="A44" s="4" t="s">
        <v>51</v>
      </c>
      <c r="B44" s="10" t="e" cm="1">
        <f t="array" ref="B44" xml:space="preserve"> (1/2) * drogue_air_density_Kg_m3 * POWER(drogue_deploy_verlocity_m_s, 2) * ((drogue_Cd * PI() * POWER(chute_diameter_drouge_m, 2))/4) * opening_shock_load_cK_drouge</f>
        <v>#VALUE!</v>
      </c>
      <c r="C44" s="21"/>
      <c r="D44" s="29"/>
    </row>
    <row r="45" spans="1:5">
      <c r="A45" s="71" t="s">
        <v>52</v>
      </c>
      <c r="B45" s="71"/>
      <c r="C45" s="71"/>
      <c r="D45" s="29"/>
    </row>
    <row r="46" spans="1:5">
      <c r="A46" s="42" t="s">
        <v>43</v>
      </c>
      <c r="B46" s="43" t="e" cm="1">
        <f t="array" ref="B46" xml:space="preserve"> (length_forward_airframe_in - length_avebay_in_forward_in - length_nosecone_in_forward_in) * area_for_chute_in2</f>
        <v>#VALUE!</v>
      </c>
      <c r="C46" s="41"/>
      <c r="D46" s="29"/>
    </row>
    <row r="47" spans="1:5">
      <c r="A47" s="14" t="s">
        <v>53</v>
      </c>
      <c r="B47" s="15" t="e" cm="1">
        <f t="array" ref="B47" xml:space="preserve"> (shock_load_drouge_N * N_to_lbs * 2) / strength_2_56_lbs</f>
        <v>#VALUE!</v>
      </c>
      <c r="C47" s="21"/>
      <c r="D47" s="29"/>
    </row>
    <row r="48" spans="1:5">
      <c r="A48" s="4" t="s">
        <v>54</v>
      </c>
      <c r="B48" s="11" t="e" cm="1">
        <f t="array" ref="B48" xml:space="preserve"> (shock_load_drouge_N * N_to_lbs * 2) / strength_4_40_lbs</f>
        <v>#VALUE!</v>
      </c>
      <c r="C48" s="21"/>
      <c r="D48" s="29"/>
    </row>
    <row r="49" spans="1:5">
      <c r="A49" s="4" t="s">
        <v>46</v>
      </c>
      <c r="B49" s="10" t="e" cm="1">
        <f t="array" ref="B49" xml:space="preserve"> (((shock_load_drouge_N / lbf_to_N) * 2) / area_for_chute_in2) + 8</f>
        <v>#VALUE!</v>
      </c>
      <c r="C49" s="21"/>
      <c r="D49" s="29"/>
      <c r="E49" t="s">
        <v>55</v>
      </c>
    </row>
    <row r="50" spans="1:5">
      <c r="A50" s="7" t="s">
        <v>48</v>
      </c>
      <c r="B50" s="12" t="e" cm="1">
        <f t="array" ref="B50" xml:space="preserve"> (volume_for_chute_main_in3 * main_desired_pressure_psi * lbm_to_g) / (bp_gas_yield_factor_inlbf_lbm * combustion_temp_of_bp_degreesR)</f>
        <v>#VALUE!</v>
      </c>
      <c r="C50" s="21"/>
      <c r="D50" s="29"/>
    </row>
    <row r="51" spans="1:5">
      <c r="A51" s="8"/>
      <c r="B51" s="20"/>
      <c r="D51" s="29"/>
    </row>
    <row r="52" spans="1:5">
      <c r="D52" s="29"/>
    </row>
    <row r="53" spans="1:5">
      <c r="D53" s="29"/>
    </row>
    <row r="54" spans="1:5">
      <c r="A54" s="77" t="s">
        <v>56</v>
      </c>
      <c r="B54" s="77"/>
      <c r="C54" s="77"/>
      <c r="D54" s="29"/>
    </row>
    <row r="55" spans="1:5">
      <c r="A55" s="71" t="s">
        <v>57</v>
      </c>
      <c r="B55" s="71"/>
      <c r="C55" s="71"/>
      <c r="D55" s="29"/>
    </row>
    <row r="56" spans="1:5">
      <c r="A56" s="14" t="s">
        <v>44</v>
      </c>
      <c r="B56" s="26" t="s">
        <v>4</v>
      </c>
      <c r="C56" s="21"/>
      <c r="D56" s="29"/>
    </row>
    <row r="57" spans="1:5">
      <c r="A57" s="4" t="s">
        <v>45</v>
      </c>
      <c r="B57" s="25" t="s">
        <v>4</v>
      </c>
      <c r="C57" s="21"/>
      <c r="D57" s="29"/>
    </row>
    <row r="58" spans="1:5">
      <c r="A58" s="4" t="s">
        <v>53</v>
      </c>
      <c r="B58" s="27" t="s">
        <v>4</v>
      </c>
      <c r="C58" s="21"/>
      <c r="D58" s="29"/>
    </row>
    <row r="59" spans="1:5">
      <c r="A59" s="7" t="s">
        <v>54</v>
      </c>
      <c r="B59" s="28" t="s">
        <v>4</v>
      </c>
      <c r="C59" s="21"/>
      <c r="D59" s="29"/>
    </row>
    <row r="60" spans="1:5">
      <c r="A60" s="71" t="s">
        <v>58</v>
      </c>
      <c r="B60" s="71"/>
      <c r="C60" s="71"/>
      <c r="D60" s="29"/>
    </row>
    <row r="61" spans="1:5">
      <c r="A61" s="14" t="s">
        <v>59</v>
      </c>
      <c r="B61" s="15" t="e" cm="1">
        <f t="array" ref="B61" xml:space="preserve"> (bp_mass_predicted_drouge_g / number_of_2_56_drouge) * number_of_2_56_drouge_desired</f>
        <v>#VALUE!</v>
      </c>
      <c r="C61" s="21"/>
      <c r="D61" s="29"/>
    </row>
    <row r="62" spans="1:5">
      <c r="A62" s="4" t="s">
        <v>60</v>
      </c>
      <c r="B62" s="11" t="e" cm="1">
        <f t="array" ref="B62" xml:space="preserve"> (bp_mass_predicted_drouge_g / number_of_4_40_drouge) * number_of_4_40_drouge_desired</f>
        <v>#VALUE!</v>
      </c>
      <c r="C62" s="21"/>
      <c r="D62" s="29"/>
    </row>
    <row r="63" spans="1:5">
      <c r="A63" s="4" t="s">
        <v>61</v>
      </c>
      <c r="B63" s="10" t="e" cm="1">
        <f t="array" ref="B63" xml:space="preserve"> (bp_mass_predicted_main_g / number_of_2_56_main) * number_of_2_56_main_desired</f>
        <v>#VALUE!</v>
      </c>
      <c r="C63" s="21"/>
      <c r="D63" s="29"/>
    </row>
    <row r="64" spans="1:5">
      <c r="A64" s="7" t="s">
        <v>62</v>
      </c>
      <c r="B64" s="12" t="e" cm="1">
        <f t="array" ref="B64" xml:space="preserve"> (bp_mass_predicted_main_g / number_of_4_40_main) * number_of_4_40_main_desired</f>
        <v>#VALUE!</v>
      </c>
      <c r="C64" s="21"/>
      <c r="D64" s="29"/>
    </row>
    <row r="65" spans="1:4">
      <c r="A65" s="76" t="s">
        <v>63</v>
      </c>
      <c r="B65" s="76"/>
      <c r="C65" s="71"/>
      <c r="D65" s="29"/>
    </row>
    <row r="66" spans="1:4">
      <c r="A66" s="4" t="s">
        <v>64</v>
      </c>
      <c r="B66" s="70" t="s">
        <v>4</v>
      </c>
      <c r="D66" s="29"/>
    </row>
    <row r="67" spans="1:4">
      <c r="A67" s="4" t="s">
        <v>65</v>
      </c>
      <c r="B67" s="66" t="s">
        <v>4</v>
      </c>
      <c r="D67" s="29"/>
    </row>
    <row r="68" spans="1:4">
      <c r="A68" s="4" t="s">
        <v>66</v>
      </c>
      <c r="B68" s="69" t="e" cm="1">
        <f t="array" ref="B68" xml:space="preserve"> bp_drouge_primary * 1.4</f>
        <v>#VALUE!</v>
      </c>
      <c r="D68" s="29"/>
    </row>
    <row r="69" spans="1:4">
      <c r="A69" s="4" t="s">
        <v>67</v>
      </c>
      <c r="B69" s="66" t="s">
        <v>4</v>
      </c>
      <c r="D69" s="29"/>
    </row>
    <row r="70" spans="1:4">
      <c r="A70" s="4" t="s">
        <v>68</v>
      </c>
      <c r="B70" s="69" t="e" cm="1">
        <f t="array" ref="B70" xml:space="preserve"> bp_main_primary *1.4</f>
        <v>#VALUE!</v>
      </c>
      <c r="D70" s="29"/>
    </row>
  </sheetData>
  <mergeCells count="11">
    <mergeCell ref="A65:C65"/>
    <mergeCell ref="A35:C35"/>
    <mergeCell ref="A45:C45"/>
    <mergeCell ref="A54:C54"/>
    <mergeCell ref="A55:C55"/>
    <mergeCell ref="A60:C60"/>
    <mergeCell ref="B1:C1"/>
    <mergeCell ref="B12:C12"/>
    <mergeCell ref="B15:C15"/>
    <mergeCell ref="A22:C22"/>
    <mergeCell ref="A32:C32"/>
  </mergeCells>
  <hyperlinks>
    <hyperlink ref="A18" r:id="rId1" display="https://tuftscloud-my.sharepoint.com/:x:/r/personal/rbonan02_tufts_edu/Documents/Rocket%20Black%20Powder%20and%20Sheer%20Pin%20Calculations.xlsx?d=w5c59e3f1f59e46a7998c84d8f12f2504&amp;csf=1&amp;web=1&amp;e=McbJlI&amp;nav=MTVfezhDRDYxMDQzLUVGOEMtNDJGRi1CNkRDLTRDMDk5MUE4RTA4Rn0" xr:uid="{0928423E-FDC5-45D2-A706-F6E9D403AAC3}"/>
    <hyperlink ref="A13" r:id="rId2" xr:uid="{5199CA5D-9BE2-44AE-AE9B-FF1A215B12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1043-EF8C-42FF-B6DC-4C0991A8E08F}">
  <dimension ref="A1:C24"/>
  <sheetViews>
    <sheetView workbookViewId="0">
      <selection activeCell="E18" sqref="E18"/>
    </sheetView>
  </sheetViews>
  <sheetFormatPr defaultRowHeight="15"/>
  <cols>
    <col min="1" max="1" width="38.140625" style="58" customWidth="1"/>
    <col min="2" max="2" width="39.85546875" customWidth="1"/>
  </cols>
  <sheetData>
    <row r="1" spans="1:3" ht="21">
      <c r="A1" s="80" t="s">
        <v>69</v>
      </c>
      <c r="B1" s="80"/>
    </row>
    <row r="2" spans="1:3">
      <c r="A2" s="3" t="s">
        <v>70</v>
      </c>
      <c r="B2" s="64" t="s">
        <v>4</v>
      </c>
    </row>
    <row r="3" spans="1:3">
      <c r="A3" s="3" t="s">
        <v>71</v>
      </c>
      <c r="B3" s="65" t="s">
        <v>4</v>
      </c>
    </row>
    <row r="4" spans="1:3">
      <c r="A4" s="3" t="s">
        <v>72</v>
      </c>
      <c r="B4" s="66" t="s">
        <v>4</v>
      </c>
    </row>
    <row r="6" spans="1:3" ht="29.25">
      <c r="A6" s="58" t="s">
        <v>73</v>
      </c>
      <c r="B6" s="59" t="s">
        <v>74</v>
      </c>
    </row>
    <row r="7" spans="1:3">
      <c r="B7" s="3" t="s">
        <v>75</v>
      </c>
      <c r="C7" s="65" t="s">
        <v>4</v>
      </c>
    </row>
    <row r="9" spans="1:3" ht="43.5">
      <c r="A9" s="58" t="s">
        <v>76</v>
      </c>
      <c r="B9" s="57" t="s">
        <v>77</v>
      </c>
    </row>
    <row r="10" spans="1:3">
      <c r="B10" s="3" t="s">
        <v>78</v>
      </c>
      <c r="C10" s="66" t="s">
        <v>4</v>
      </c>
    </row>
    <row r="11" spans="1:3">
      <c r="B11" s="3" t="s">
        <v>79</v>
      </c>
      <c r="C11" s="67" t="s">
        <v>4</v>
      </c>
    </row>
    <row r="12" spans="1:3">
      <c r="B12" s="3" t="s">
        <v>80</v>
      </c>
      <c r="C12" s="48" t="e">
        <f xml:space="preserve"> (C10 + C11)/2</f>
        <v>#VALUE!</v>
      </c>
    </row>
    <row r="13" spans="1:3">
      <c r="B13" s="3" t="s">
        <v>81</v>
      </c>
      <c r="C13" s="67" t="s">
        <v>4</v>
      </c>
    </row>
    <row r="14" spans="1:3">
      <c r="B14" s="3" t="s">
        <v>82</v>
      </c>
      <c r="C14" s="66" t="s">
        <v>4</v>
      </c>
    </row>
    <row r="17" spans="1:3" ht="43.5">
      <c r="A17" s="58" t="s">
        <v>83</v>
      </c>
      <c r="B17" s="59" t="s">
        <v>84</v>
      </c>
    </row>
    <row r="18" spans="1:3">
      <c r="A18" s="78" t="s">
        <v>85</v>
      </c>
      <c r="B18" s="79"/>
      <c r="C18" s="54"/>
    </row>
    <row r="19" spans="1:3">
      <c r="A19" s="55" t="s">
        <v>86</v>
      </c>
      <c r="B19" s="62" t="e">
        <f xml:space="preserve"> av_temp_F</f>
        <v>#VALUE!</v>
      </c>
      <c r="C19" s="54"/>
    </row>
    <row r="20" spans="1:3">
      <c r="A20" s="55" t="s">
        <v>87</v>
      </c>
      <c r="B20" s="63" t="str">
        <f xml:space="preserve"> av_humidity</f>
        <v>replace</v>
      </c>
      <c r="C20" s="54"/>
    </row>
    <row r="21" spans="1:3">
      <c r="A21" s="55" t="s">
        <v>88</v>
      </c>
      <c r="B21" s="62" t="str">
        <f xml:space="preserve"> av_pressure_in</f>
        <v>replace</v>
      </c>
      <c r="C21" s="54"/>
    </row>
    <row r="22" spans="1:3">
      <c r="A22" s="55" t="s">
        <v>89</v>
      </c>
      <c r="B22" s="63" t="e">
        <f xml:space="preserve"> elevation + apogee_ft</f>
        <v>#VALUE!</v>
      </c>
      <c r="C22" s="56"/>
    </row>
    <row r="24" spans="1:3">
      <c r="A24" s="61" t="s">
        <v>90</v>
      </c>
      <c r="B24" s="19" t="s">
        <v>4</v>
      </c>
      <c r="C24" s="60"/>
    </row>
  </sheetData>
  <mergeCells count="2">
    <mergeCell ref="A18:B18"/>
    <mergeCell ref="A1:B1"/>
  </mergeCells>
  <hyperlinks>
    <hyperlink ref="B9" r:id="rId1" xr:uid="{C1A86407-0600-4AC5-B35E-9C91372D74B3}"/>
    <hyperlink ref="B6" r:id="rId2" xr:uid="{BE9F5322-4CE3-417F-878A-E4750629F00D}"/>
    <hyperlink ref="B17" r:id="rId3" xr:uid="{44DB538E-28FA-49B8-B5EB-1656AF1305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2025-02-27T21:38:29Z</dcterms:created>
  <dcterms:modified xsi:type="dcterms:W3CDTF">2026-04-07T19:30:36Z</dcterms:modified>
  <cp:category/>
  <cp:contentStatus/>
</cp:coreProperties>
</file>